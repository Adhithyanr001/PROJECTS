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\Desktop\"/>
    </mc:Choice>
  </mc:AlternateContent>
  <xr:revisionPtr revIDLastSave="0" documentId="13_ncr:1_{7C46F470-3F9F-4FC2-822B-774A957762E3}" xr6:coauthVersionLast="47" xr6:coauthVersionMax="47" xr10:uidLastSave="{00000000-0000-0000-0000-000000000000}"/>
  <bookViews>
    <workbookView xWindow="-108" yWindow="-108" windowWidth="23256" windowHeight="12456" xr2:uid="{52269E64-A51C-44A1-9D5D-E107DA718845}"/>
  </bookViews>
  <sheets>
    <sheet name="Sheet1 (5)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0" l="1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6" i="10"/>
  <c r="M2" i="10"/>
  <c r="M3" i="10"/>
  <c r="M4" i="10"/>
  <c r="M5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2" i="10"/>
  <c r="J2" i="10" a="1"/>
  <c r="J2" i="10" s="1"/>
  <c r="K2" i="10" s="1"/>
  <c r="K20" i="10" l="1"/>
  <c r="K18" i="10"/>
  <c r="K14" i="10"/>
  <c r="K13" i="10"/>
  <c r="K28" i="10"/>
  <c r="K12" i="10"/>
  <c r="K30" i="10"/>
  <c r="K29" i="10"/>
  <c r="K27" i="10"/>
  <c r="K11" i="10"/>
  <c r="K4" i="10"/>
  <c r="K16" i="10"/>
  <c r="K17" i="10"/>
  <c r="K26" i="10"/>
  <c r="K31" i="10"/>
  <c r="K9" i="10"/>
  <c r="K19" i="10"/>
  <c r="K15" i="10"/>
  <c r="K23" i="10"/>
  <c r="K3" i="10"/>
  <c r="K32" i="10"/>
  <c r="K10" i="10"/>
  <c r="K25" i="10"/>
  <c r="K24" i="10"/>
  <c r="K8" i="10"/>
  <c r="K7" i="10"/>
  <c r="K22" i="10"/>
  <c r="K6" i="10"/>
  <c r="K21" i="10"/>
  <c r="K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<sst xmlns="http://schemas.openxmlformats.org/spreadsheetml/2006/main" count="195" uniqueCount="112">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</sst>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4DD0E1"/>
      </patternFill>
    </fill>
    <fill>
      <patternFill patternType="solid">
        <fgColor theme="3" tint="0.59999389629810485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7" borderId="1" xfId="0" applyFont="1" applyFill="1" applyBorder="1"/>
    <xf numFmtId="166" fontId="0" fillId="4" borderId="1" xfId="0" applyNumberFormat="1" applyFill="1" applyBorder="1"/>
    <xf numFmtId="14" fontId="3" fillId="4" borderId="1" xfId="0" applyNumberFormat="1" applyFont="1" applyFill="1" applyBorder="1"/>
    <xf numFmtId="14" fontId="3" fillId="7" borderId="1" xfId="0" applyNumberFormat="1" applyFont="1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4E6E-09E9-4D13-B968-6F6886577A44}">
  <dimension ref="A1:M1000"/>
  <sheetViews>
    <sheetView tabSelected="1" topLeftCell="B1" workbookViewId="0">
      <selection activeCell="O10" sqref="O10"/>
    </sheetView>
  </sheetViews>
  <sheetFormatPr defaultColWidth="12.6640625" defaultRowHeight="14.4" x14ac:dyDescent="0.3"/>
  <cols>
    <col min="8" max="8" width="18.21875" bestFit="1" customWidth="1"/>
    <col min="9" max="9" width="13.33203125" bestFit="1" customWidth="1"/>
    <col min="10" max="10" width="13.5546875" bestFit="1" customWidth="1"/>
    <col min="11" max="11" width="21.44140625" bestFit="1" customWidth="1"/>
    <col min="12" max="12" width="13.6640625" bestFit="1" customWidth="1"/>
    <col min="14" max="14" width="12" bestFit="1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0</v>
      </c>
      <c r="H1" s="6" t="s">
        <v>96</v>
      </c>
      <c r="I1" s="6" t="s">
        <v>97</v>
      </c>
      <c r="J1" s="6" t="s">
        <v>1</v>
      </c>
      <c r="K1" s="6" t="s">
        <v>110</v>
      </c>
      <c r="L1" s="5" t="s">
        <v>111</v>
      </c>
      <c r="M1" s="5" t="s">
        <v>5</v>
      </c>
    </row>
    <row r="2" spans="1:13" ht="15.75" customHeight="1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7" t="s">
        <v>6</v>
      </c>
      <c r="H2" s="10">
        <v>45685</v>
      </c>
      <c r="I2" s="7" t="s">
        <v>98</v>
      </c>
      <c r="J2" s="4" t="str" cm="1">
        <f t="array" ref="J2:J35">TRIM(B2:B35)</f>
        <v>laptop</v>
      </c>
      <c r="K2" s="4" t="str">
        <f>_xlfn.CONCAT(C2," ",J2)</f>
        <v>Dell laptop</v>
      </c>
      <c r="L2" s="9">
        <f>IF(ISBLANK(D2),AVERAGE(D2:D35),D2)</f>
        <v>1000</v>
      </c>
      <c r="M2" s="4" t="str">
        <f t="shared" ref="M2" si="0">IF(ISBLANK(F2),"unknown",F2)</f>
        <v>Electronics</v>
      </c>
    </row>
    <row r="3" spans="1:13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8" t="s">
        <v>10</v>
      </c>
      <c r="H3" s="11">
        <v>45703</v>
      </c>
      <c r="I3" s="8" t="s">
        <v>98</v>
      </c>
      <c r="J3" s="4" t="str">
        <v>Sneakers</v>
      </c>
      <c r="K3" s="4" t="str">
        <f>_xlfn.CONCAT(C3," ",J3)</f>
        <v>Nike Sneakers</v>
      </c>
      <c r="L3" s="9">
        <f>IF(ISBLANK(D3),AVERAGE(D3:D36),D3)</f>
        <v>80</v>
      </c>
      <c r="M3" s="4" t="str">
        <f>IF(ISBLANK(F3),"unknown",F3)</f>
        <v>Fashion</v>
      </c>
    </row>
    <row r="4" spans="1:13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7" t="s">
        <v>14</v>
      </c>
      <c r="H4" s="10">
        <v>45719</v>
      </c>
      <c r="I4" s="7" t="s">
        <v>98</v>
      </c>
      <c r="J4" s="4" t="str">
        <v>Coffee Maker</v>
      </c>
      <c r="K4" s="4" t="str">
        <f>_xlfn.CONCAT(C4," ",J4)</f>
        <v>Keurig Coffee Maker</v>
      </c>
      <c r="L4" s="9">
        <f>IF(ISBLANK(D4),AVERAGE(D4:D37),D4)</f>
        <v>130</v>
      </c>
      <c r="M4" s="4" t="str">
        <f>IF(ISBLANK(F4),"unknown",F4)</f>
        <v>Kitchen</v>
      </c>
    </row>
    <row r="5" spans="1:13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8" t="s">
        <v>18</v>
      </c>
      <c r="H5" s="11">
        <v>45758</v>
      </c>
      <c r="I5" s="8" t="s">
        <v>98</v>
      </c>
      <c r="J5" s="4" t="str">
        <v>smartphone</v>
      </c>
      <c r="K5" s="4" t="str">
        <f>_xlfn.CONCAT(C5," ",J5)</f>
        <v>Samsung smartphone</v>
      </c>
      <c r="L5" s="9">
        <f>IF(ISBLANK(D5),AVERAGE(D5:D38),D5)</f>
        <v>900</v>
      </c>
      <c r="M5" s="4" t="str">
        <f>IF(ISBLANK(F5),"unknown",F5)</f>
        <v>Electronics</v>
      </c>
    </row>
    <row r="6" spans="1:13" ht="15.75" customHeight="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G6" s="7" t="s">
        <v>21</v>
      </c>
      <c r="H6" s="10">
        <v>45799</v>
      </c>
      <c r="I6" s="7" t="s">
        <v>98</v>
      </c>
      <c r="J6" s="4" t="str">
        <v>Backpack</v>
      </c>
      <c r="K6" s="4" t="str">
        <f>_xlfn.CONCAT(C6," ",J6)</f>
        <v>North Face Backpack</v>
      </c>
      <c r="L6" s="9">
        <f>IF(ISBLANK(D6),AVERAGE(D6:D39),D6)</f>
        <v>70</v>
      </c>
      <c r="M6" s="4" t="str">
        <f>IF(ISBLANK(F6),"Unknown",F6)</f>
        <v>Unknown</v>
      </c>
    </row>
    <row r="7" spans="1:13" ht="15.75" customHeight="1" x14ac:dyDescent="0.3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9</v>
      </c>
      <c r="G7" s="8" t="s">
        <v>24</v>
      </c>
      <c r="H7" s="11">
        <v>45815</v>
      </c>
      <c r="I7" s="8" t="s">
        <v>99</v>
      </c>
      <c r="J7" s="4" t="str">
        <v>Headphones</v>
      </c>
      <c r="K7" s="4" t="str">
        <f>_xlfn.CONCAT(C7," ",J7)</f>
        <v>Sony Headphones</v>
      </c>
      <c r="L7" s="9">
        <f>IF(ISBLANK(D7),AVERAGE(D7:D40),D7)</f>
        <v>267.82608695652175</v>
      </c>
      <c r="M7" s="4" t="str">
        <f t="shared" ref="M7:M32" si="1">IF(ISBLANK(F7),"Unknown",F7)</f>
        <v>Electronics</v>
      </c>
    </row>
    <row r="8" spans="1:13" ht="15.75" customHeight="1" x14ac:dyDescent="0.3">
      <c r="A8" s="2" t="s">
        <v>27</v>
      </c>
      <c r="B8" s="2" t="s">
        <v>28</v>
      </c>
      <c r="C8" s="2" t="s">
        <v>29</v>
      </c>
      <c r="D8" s="2">
        <v>30</v>
      </c>
      <c r="E8" s="2">
        <v>5</v>
      </c>
      <c r="F8" s="2" t="s">
        <v>13</v>
      </c>
      <c r="G8" s="7" t="s">
        <v>27</v>
      </c>
      <c r="H8" s="10">
        <v>45857</v>
      </c>
      <c r="I8" s="7" t="s">
        <v>99</v>
      </c>
      <c r="J8" s="4" t="str">
        <v>T-shirt</v>
      </c>
      <c r="K8" s="4" t="str">
        <f>_xlfn.CONCAT(C8," ",J8)</f>
        <v>Adidas T-shirt</v>
      </c>
      <c r="L8" s="9">
        <f>IF(ISBLANK(D8),AVERAGE(D8:D41),D8)</f>
        <v>30</v>
      </c>
      <c r="M8" s="4" t="str">
        <f t="shared" si="1"/>
        <v>Fashion</v>
      </c>
    </row>
    <row r="9" spans="1:13" ht="15.75" customHeight="1" x14ac:dyDescent="0.3">
      <c r="A9" s="3" t="s">
        <v>30</v>
      </c>
      <c r="B9" s="3" t="s">
        <v>31</v>
      </c>
      <c r="C9" s="3" t="s">
        <v>32</v>
      </c>
      <c r="D9" s="3">
        <v>90</v>
      </c>
      <c r="E9" s="3">
        <v>35</v>
      </c>
      <c r="F9" s="3" t="s">
        <v>17</v>
      </c>
      <c r="G9" s="8" t="s">
        <v>30</v>
      </c>
      <c r="H9" s="11">
        <v>45892</v>
      </c>
      <c r="I9" s="8" t="s">
        <v>99</v>
      </c>
      <c r="J9" s="4" t="str">
        <v>Blender</v>
      </c>
      <c r="K9" s="4" t="str">
        <f>_xlfn.CONCAT(C9," ",J9)</f>
        <v>Ninja Blender</v>
      </c>
      <c r="L9" s="9">
        <f>IF(ISBLANK(D9),AVERAGE(D9:D42),D9)</f>
        <v>90</v>
      </c>
      <c r="M9" s="4" t="str">
        <f t="shared" si="1"/>
        <v>Kitchen</v>
      </c>
    </row>
    <row r="10" spans="1:13" ht="15.75" customHeight="1" x14ac:dyDescent="0.3">
      <c r="A10" s="2" t="s">
        <v>33</v>
      </c>
      <c r="B10" s="2" t="s">
        <v>34</v>
      </c>
      <c r="C10" s="2" t="s">
        <v>35</v>
      </c>
      <c r="D10" s="2">
        <v>500</v>
      </c>
      <c r="E10" s="2">
        <v>50</v>
      </c>
      <c r="F10" s="2" t="s">
        <v>9</v>
      </c>
      <c r="G10" s="7" t="s">
        <v>33</v>
      </c>
      <c r="H10" s="10">
        <v>45905</v>
      </c>
      <c r="I10" s="7" t="s">
        <v>99</v>
      </c>
      <c r="J10" s="4" t="str">
        <v>Tablet</v>
      </c>
      <c r="K10" s="4" t="str">
        <f>_xlfn.CONCAT(C10," ",J10)</f>
        <v>Apple Tablet</v>
      </c>
      <c r="L10" s="9">
        <f>IF(ISBLANK(D10),AVERAGE(D10:D43),D10)</f>
        <v>500</v>
      </c>
      <c r="M10" s="4" t="str">
        <f t="shared" si="1"/>
        <v>Electronics</v>
      </c>
    </row>
    <row r="11" spans="1:13" ht="15.75" customHeight="1" x14ac:dyDescent="0.3">
      <c r="A11" s="3" t="s">
        <v>36</v>
      </c>
      <c r="B11" s="3" t="s">
        <v>37</v>
      </c>
      <c r="C11" s="3" t="s">
        <v>38</v>
      </c>
      <c r="D11" s="3">
        <v>130</v>
      </c>
      <c r="E11" s="3">
        <v>10</v>
      </c>
      <c r="F11" s="3" t="s">
        <v>39</v>
      </c>
      <c r="G11" s="8" t="s">
        <v>36</v>
      </c>
      <c r="H11" s="11">
        <v>45944</v>
      </c>
      <c r="I11" s="8" t="s">
        <v>99</v>
      </c>
      <c r="J11" s="4" t="str">
        <v>Hiking Boots</v>
      </c>
      <c r="K11" s="4" t="str">
        <f>_xlfn.CONCAT(C11," ",J11)</f>
        <v>Timberland Hiking Boots</v>
      </c>
      <c r="L11" s="9">
        <f>IF(ISBLANK(D11),AVERAGE(D11:D44),D11)</f>
        <v>130</v>
      </c>
      <c r="M11" s="4" t="str">
        <f t="shared" si="1"/>
        <v>Outdoor</v>
      </c>
    </row>
    <row r="12" spans="1:13" ht="15.75" customHeight="1" x14ac:dyDescent="0.3">
      <c r="A12" s="2" t="s">
        <v>40</v>
      </c>
      <c r="B12" s="2" t="s">
        <v>41</v>
      </c>
      <c r="C12" s="2" t="s">
        <v>42</v>
      </c>
      <c r="D12" s="2">
        <v>950</v>
      </c>
      <c r="E12" s="2">
        <v>25</v>
      </c>
      <c r="F12" s="2" t="s">
        <v>9</v>
      </c>
      <c r="G12" s="7" t="s">
        <v>40</v>
      </c>
      <c r="H12" s="10">
        <v>45825</v>
      </c>
      <c r="I12" s="7" t="s">
        <v>100</v>
      </c>
      <c r="J12" s="4" t="str">
        <v>Laptop</v>
      </c>
      <c r="K12" s="4" t="str">
        <f>_xlfn.CONCAT(C12," ",J12)</f>
        <v>HP Laptop</v>
      </c>
      <c r="L12" s="9">
        <f>IF(ISBLANK(D12),AVERAGE(D12:D45),D12)</f>
        <v>950</v>
      </c>
      <c r="M12" s="4" t="str">
        <f t="shared" si="1"/>
        <v>Electronics</v>
      </c>
    </row>
    <row r="13" spans="1:13" ht="15.75" customHeight="1" x14ac:dyDescent="0.3">
      <c r="A13" s="3" t="s">
        <v>43</v>
      </c>
      <c r="B13" s="3" t="s">
        <v>11</v>
      </c>
      <c r="C13" s="3" t="s">
        <v>29</v>
      </c>
      <c r="D13" s="3">
        <v>90</v>
      </c>
      <c r="E13" s="3">
        <v>40</v>
      </c>
      <c r="F13" s="3"/>
      <c r="G13" s="8" t="s">
        <v>43</v>
      </c>
      <c r="H13" s="11">
        <v>45986</v>
      </c>
      <c r="I13" s="8" t="s">
        <v>101</v>
      </c>
      <c r="J13" s="4" t="str">
        <v>Sneakers</v>
      </c>
      <c r="K13" s="4" t="str">
        <f>_xlfn.CONCAT(C13," ",J13)</f>
        <v>Adidas Sneakers</v>
      </c>
      <c r="L13" s="9">
        <f>IF(ISBLANK(D13),AVERAGE(D13:D46),D13)</f>
        <v>90</v>
      </c>
      <c r="M13" s="4" t="str">
        <f t="shared" si="1"/>
        <v>Unknown</v>
      </c>
    </row>
    <row r="14" spans="1:13" ht="15.75" customHeight="1" x14ac:dyDescent="0.3">
      <c r="A14" s="2" t="s">
        <v>44</v>
      </c>
      <c r="B14" s="2" t="s">
        <v>15</v>
      </c>
      <c r="C14" s="2" t="s">
        <v>45</v>
      </c>
      <c r="D14" s="2">
        <v>120</v>
      </c>
      <c r="E14" s="2">
        <v>35</v>
      </c>
      <c r="F14" s="2"/>
      <c r="G14" s="7" t="s">
        <v>44</v>
      </c>
      <c r="H14" s="10">
        <v>45999</v>
      </c>
      <c r="I14" s="7" t="s">
        <v>102</v>
      </c>
      <c r="J14" s="4" t="str">
        <v>Coffee Maker</v>
      </c>
      <c r="K14" s="4" t="str">
        <f>_xlfn.CONCAT(C14," ",J14)</f>
        <v>Nespresso Coffee Maker</v>
      </c>
      <c r="L14" s="9">
        <f>IF(ISBLANK(D14),AVERAGE(D14:D47),D14)</f>
        <v>120</v>
      </c>
      <c r="M14" s="4" t="str">
        <f t="shared" si="1"/>
        <v>Unknown</v>
      </c>
    </row>
    <row r="15" spans="1:13" ht="15.75" customHeight="1" x14ac:dyDescent="0.3">
      <c r="A15" s="3" t="s">
        <v>46</v>
      </c>
      <c r="B15" s="3" t="s">
        <v>47</v>
      </c>
      <c r="C15" s="3" t="s">
        <v>48</v>
      </c>
      <c r="D15" s="3">
        <v>150</v>
      </c>
      <c r="E15" s="3">
        <v>15</v>
      </c>
      <c r="F15" s="3" t="s">
        <v>9</v>
      </c>
      <c r="G15" s="8" t="s">
        <v>46</v>
      </c>
      <c r="H15" s="11">
        <v>45706</v>
      </c>
      <c r="I15" s="8" t="s">
        <v>103</v>
      </c>
      <c r="J15" s="4" t="str">
        <v>Smartwatch</v>
      </c>
      <c r="K15" s="4" t="str">
        <f>_xlfn.CONCAT(C15," ",J15)</f>
        <v>Fitbit Smartwatch</v>
      </c>
      <c r="L15" s="9">
        <f>IF(ISBLANK(D15),AVERAGE(D15:D48),D15)</f>
        <v>150</v>
      </c>
      <c r="M15" s="4" t="str">
        <f t="shared" si="1"/>
        <v>Electronics</v>
      </c>
    </row>
    <row r="16" spans="1:13" ht="15.75" customHeight="1" x14ac:dyDescent="0.3">
      <c r="A16" s="2" t="s">
        <v>49</v>
      </c>
      <c r="B16" s="2" t="s">
        <v>50</v>
      </c>
      <c r="C16" s="2" t="s">
        <v>51</v>
      </c>
      <c r="D16" s="2">
        <v>250</v>
      </c>
      <c r="E16" s="2">
        <v>20</v>
      </c>
      <c r="F16" s="2" t="s">
        <v>9</v>
      </c>
      <c r="G16" s="7" t="s">
        <v>49</v>
      </c>
      <c r="H16" s="10">
        <v>45763</v>
      </c>
      <c r="I16" s="7" t="s">
        <v>104</v>
      </c>
      <c r="J16" s="4" t="str">
        <v>headphones</v>
      </c>
      <c r="K16" s="4" t="str">
        <f>_xlfn.CONCAT(C16," ",J16)</f>
        <v>Bose headphones</v>
      </c>
      <c r="L16" s="9">
        <f>IF(ISBLANK(D16),AVERAGE(D16:D49),D16)</f>
        <v>250</v>
      </c>
      <c r="M16" s="4" t="str">
        <f t="shared" si="1"/>
        <v>Electronics</v>
      </c>
    </row>
    <row r="17" spans="1:13" ht="15.75" customHeight="1" x14ac:dyDescent="0.3">
      <c r="A17" s="3" t="s">
        <v>52</v>
      </c>
      <c r="B17" s="3" t="s">
        <v>53</v>
      </c>
      <c r="C17" s="3" t="s">
        <v>54</v>
      </c>
      <c r="D17" s="3">
        <v>50</v>
      </c>
      <c r="E17" s="3">
        <v>35</v>
      </c>
      <c r="F17" s="3" t="s">
        <v>55</v>
      </c>
      <c r="G17" s="8" t="s">
        <v>52</v>
      </c>
      <c r="H17" s="11">
        <v>45890</v>
      </c>
      <c r="I17" s="8" t="s">
        <v>103</v>
      </c>
      <c r="J17" s="4" t="str">
        <v>Laptop Bag</v>
      </c>
      <c r="K17" s="4" t="str">
        <f>_xlfn.CONCAT(C17," ",J17)</f>
        <v>Samsonite Laptop Bag</v>
      </c>
      <c r="L17" s="9">
        <f>IF(ISBLANK(D17),AVERAGE(D17:D50),D17)</f>
        <v>50</v>
      </c>
      <c r="M17" s="4" t="str">
        <f t="shared" si="1"/>
        <v>Accessories</v>
      </c>
    </row>
    <row r="18" spans="1:13" ht="15.75" customHeight="1" x14ac:dyDescent="0.3">
      <c r="A18" s="2" t="s">
        <v>56</v>
      </c>
      <c r="B18" s="2" t="s">
        <v>47</v>
      </c>
      <c r="C18" s="2" t="s">
        <v>57</v>
      </c>
      <c r="D18" s="2">
        <v>160</v>
      </c>
      <c r="E18" s="2">
        <v>15</v>
      </c>
      <c r="F18" s="2" t="s">
        <v>9</v>
      </c>
      <c r="G18" s="7" t="s">
        <v>56</v>
      </c>
      <c r="H18" s="10">
        <v>45889</v>
      </c>
      <c r="I18" s="7" t="s">
        <v>105</v>
      </c>
      <c r="J18" s="4" t="str">
        <v>Smartwatch</v>
      </c>
      <c r="K18" s="4" t="str">
        <f>_xlfn.CONCAT(C18," ",J18)</f>
        <v>Huawei Smartwatch</v>
      </c>
      <c r="L18" s="9">
        <f>IF(ISBLANK(D18),AVERAGE(D18:D51),D18)</f>
        <v>160</v>
      </c>
      <c r="M18" s="4" t="str">
        <f t="shared" si="1"/>
        <v>Electronics</v>
      </c>
    </row>
    <row r="19" spans="1:13" ht="15.75" customHeight="1" x14ac:dyDescent="0.3">
      <c r="A19" s="3" t="s">
        <v>58</v>
      </c>
      <c r="B19" s="3" t="s">
        <v>7</v>
      </c>
      <c r="C19" s="3" t="s">
        <v>59</v>
      </c>
      <c r="D19" s="3">
        <v>980</v>
      </c>
      <c r="E19" s="3">
        <v>10</v>
      </c>
      <c r="F19" s="3" t="s">
        <v>9</v>
      </c>
      <c r="G19" s="8" t="s">
        <v>58</v>
      </c>
      <c r="H19" s="11">
        <v>45684</v>
      </c>
      <c r="I19" s="8" t="s">
        <v>106</v>
      </c>
      <c r="J19" s="4" t="str">
        <v>laptop</v>
      </c>
      <c r="K19" s="4" t="str">
        <f>_xlfn.CONCAT(C19," ",J19)</f>
        <v>Asus laptop</v>
      </c>
      <c r="L19" s="9">
        <f>IF(ISBLANK(D19),AVERAGE(D19:D52),D19)</f>
        <v>980</v>
      </c>
      <c r="M19" s="4" t="str">
        <f t="shared" si="1"/>
        <v>Electronics</v>
      </c>
    </row>
    <row r="20" spans="1:13" ht="15.75" customHeight="1" x14ac:dyDescent="0.3">
      <c r="A20" s="2" t="s">
        <v>60</v>
      </c>
      <c r="B20" s="2" t="s">
        <v>61</v>
      </c>
      <c r="C20" s="2" t="s">
        <v>62</v>
      </c>
      <c r="D20" s="2">
        <v>150</v>
      </c>
      <c r="E20" s="2">
        <v>15</v>
      </c>
      <c r="F20" s="2" t="s">
        <v>13</v>
      </c>
      <c r="G20" s="7" t="s">
        <v>60</v>
      </c>
      <c r="H20" s="10">
        <v>45717</v>
      </c>
      <c r="I20" s="7" t="s">
        <v>99</v>
      </c>
      <c r="J20" s="4" t="str">
        <v>Sunglasses</v>
      </c>
      <c r="K20" s="4" t="str">
        <f>_xlfn.CONCAT(C20," ",J20)</f>
        <v>Oakley Sunglasses</v>
      </c>
      <c r="L20" s="9">
        <f>IF(ISBLANK(D20),AVERAGE(D20:D53),D20)</f>
        <v>150</v>
      </c>
      <c r="M20" s="4" t="str">
        <f t="shared" si="1"/>
        <v>Fashion</v>
      </c>
    </row>
    <row r="21" spans="1:13" ht="15.75" customHeight="1" x14ac:dyDescent="0.3">
      <c r="A21" s="3" t="s">
        <v>63</v>
      </c>
      <c r="B21" s="3" t="s">
        <v>64</v>
      </c>
      <c r="C21" s="3" t="s">
        <v>65</v>
      </c>
      <c r="D21" s="3"/>
      <c r="E21" s="3">
        <v>10</v>
      </c>
      <c r="F21" s="3" t="s">
        <v>39</v>
      </c>
      <c r="G21" s="8" t="s">
        <v>63</v>
      </c>
      <c r="H21" s="11">
        <v>45883</v>
      </c>
      <c r="I21" s="8" t="s">
        <v>98</v>
      </c>
      <c r="J21" s="4" t="str">
        <v>Camping Tent</v>
      </c>
      <c r="K21" s="4" t="str">
        <f>_xlfn.CONCAT(C21," ",J21)</f>
        <v>Coleman Camping Tent</v>
      </c>
      <c r="L21" s="9">
        <f>IF(ISBLANK(D21),AVERAGE(D21:D54),D21)</f>
        <v>251</v>
      </c>
      <c r="M21" s="4" t="str">
        <f t="shared" si="1"/>
        <v>Outdoor</v>
      </c>
    </row>
    <row r="22" spans="1:13" ht="15.75" customHeight="1" x14ac:dyDescent="0.3">
      <c r="A22" s="2" t="s">
        <v>66</v>
      </c>
      <c r="B22" s="2" t="s">
        <v>67</v>
      </c>
      <c r="C22" s="2" t="s">
        <v>68</v>
      </c>
      <c r="D22" s="2">
        <v>700</v>
      </c>
      <c r="E22" s="2">
        <v>50</v>
      </c>
      <c r="F22" s="2" t="s">
        <v>9</v>
      </c>
      <c r="G22" s="7" t="s">
        <v>66</v>
      </c>
      <c r="H22" s="10">
        <v>45791</v>
      </c>
      <c r="I22" s="7" t="s">
        <v>107</v>
      </c>
      <c r="J22" s="4" t="str">
        <v>Camera</v>
      </c>
      <c r="K22" s="4" t="str">
        <f>_xlfn.CONCAT(C22," ",J22)</f>
        <v>Nikon Camera</v>
      </c>
      <c r="L22" s="9">
        <f>IF(ISBLANK(D22),AVERAGE(D22:D55),D22)</f>
        <v>700</v>
      </c>
      <c r="M22" s="4" t="str">
        <f t="shared" si="1"/>
        <v>Electronics</v>
      </c>
    </row>
    <row r="23" spans="1:13" ht="15.75" customHeight="1" x14ac:dyDescent="0.3">
      <c r="A23" s="3" t="s">
        <v>69</v>
      </c>
      <c r="B23" s="3" t="s">
        <v>70</v>
      </c>
      <c r="C23" s="3" t="s">
        <v>71</v>
      </c>
      <c r="D23" s="3">
        <v>80</v>
      </c>
      <c r="E23" s="3">
        <v>20</v>
      </c>
      <c r="F23" s="3" t="s">
        <v>17</v>
      </c>
      <c r="G23" s="8" t="s">
        <v>69</v>
      </c>
      <c r="H23" s="11">
        <v>45666</v>
      </c>
      <c r="I23" s="8" t="s">
        <v>103</v>
      </c>
      <c r="J23" s="4" t="str">
        <v>Microwave</v>
      </c>
      <c r="K23" s="4" t="str">
        <f>_xlfn.CONCAT(C23," ",J23)</f>
        <v>Panasonic Microwave</v>
      </c>
      <c r="L23" s="9">
        <f>IF(ISBLANK(D23),AVERAGE(D23:D56),D23)</f>
        <v>80</v>
      </c>
      <c r="M23" s="4" t="str">
        <f t="shared" si="1"/>
        <v>Kitchen</v>
      </c>
    </row>
    <row r="24" spans="1:13" ht="15.75" customHeight="1" x14ac:dyDescent="0.3">
      <c r="A24" s="2" t="s">
        <v>72</v>
      </c>
      <c r="B24" s="2" t="s">
        <v>73</v>
      </c>
      <c r="C24" s="2" t="s">
        <v>74</v>
      </c>
      <c r="D24" s="2">
        <v>150</v>
      </c>
      <c r="E24" s="2">
        <v>30</v>
      </c>
      <c r="F24" s="2"/>
      <c r="G24" s="7" t="s">
        <v>72</v>
      </c>
      <c r="H24" s="10">
        <v>45857</v>
      </c>
      <c r="I24" s="7" t="s">
        <v>108</v>
      </c>
      <c r="J24" s="4" t="str">
        <v>Fitness Tracker</v>
      </c>
      <c r="K24" s="4" t="str">
        <f>_xlfn.CONCAT(C24," ",J24)</f>
        <v>Xiaomi Fitness Tracker</v>
      </c>
      <c r="L24" s="9">
        <f>IF(ISBLANK(D24),AVERAGE(D24:D57),D24)</f>
        <v>150</v>
      </c>
      <c r="M24" s="4" t="str">
        <f t="shared" si="1"/>
        <v>Unknown</v>
      </c>
    </row>
    <row r="25" spans="1:13" ht="15.75" customHeight="1" x14ac:dyDescent="0.3">
      <c r="A25" s="2" t="s">
        <v>75</v>
      </c>
      <c r="B25" s="2" t="s">
        <v>76</v>
      </c>
      <c r="C25" s="2" t="s">
        <v>77</v>
      </c>
      <c r="D25" s="2">
        <v>800</v>
      </c>
      <c r="E25" s="2">
        <v>45</v>
      </c>
      <c r="F25" s="2" t="s">
        <v>9</v>
      </c>
      <c r="G25" s="7" t="s">
        <v>75</v>
      </c>
      <c r="H25" s="10">
        <v>45929</v>
      </c>
      <c r="I25" s="7" t="s">
        <v>103</v>
      </c>
      <c r="J25" s="4" t="str">
        <v>Smartphone</v>
      </c>
      <c r="K25" s="4" t="str">
        <f>_xlfn.CONCAT(C25," ",J25)</f>
        <v>Google Smartphone</v>
      </c>
      <c r="L25" s="9">
        <f>IF(ISBLANK(D25),AVERAGE(D25:D58),D25)</f>
        <v>800</v>
      </c>
      <c r="M25" s="4" t="str">
        <f t="shared" si="1"/>
        <v>Electronics</v>
      </c>
    </row>
    <row r="26" spans="1:13" ht="15.75" customHeight="1" x14ac:dyDescent="0.3">
      <c r="A26" s="3" t="s">
        <v>78</v>
      </c>
      <c r="B26" s="3" t="s">
        <v>61</v>
      </c>
      <c r="C26" s="3" t="s">
        <v>79</v>
      </c>
      <c r="D26" s="3"/>
      <c r="E26" s="3">
        <v>25</v>
      </c>
      <c r="F26" s="3" t="s">
        <v>13</v>
      </c>
      <c r="G26" s="8" t="s">
        <v>78</v>
      </c>
      <c r="H26" s="11">
        <v>45811</v>
      </c>
      <c r="I26" s="8" t="s">
        <v>103</v>
      </c>
      <c r="J26" s="4" t="str">
        <v>Sunglasses</v>
      </c>
      <c r="K26" s="4" t="str">
        <f>_xlfn.CONCAT(C26," ",J26)</f>
        <v>Ray-Ban Sunglasses</v>
      </c>
      <c r="L26" s="9">
        <f>IF(ISBLANK(D26),AVERAGE(D26:D59),D26)</f>
        <v>130</v>
      </c>
      <c r="M26" s="4" t="str">
        <f t="shared" si="1"/>
        <v>Fashion</v>
      </c>
    </row>
    <row r="27" spans="1:13" ht="15.75" customHeight="1" x14ac:dyDescent="0.3">
      <c r="A27" s="2" t="s">
        <v>80</v>
      </c>
      <c r="B27" s="2" t="s">
        <v>31</v>
      </c>
      <c r="C27" s="2" t="s">
        <v>81</v>
      </c>
      <c r="D27" s="2">
        <v>400</v>
      </c>
      <c r="E27" s="2">
        <v>40</v>
      </c>
      <c r="F27" s="2" t="s">
        <v>17</v>
      </c>
      <c r="G27" s="7" t="s">
        <v>80</v>
      </c>
      <c r="H27" s="10">
        <v>45849</v>
      </c>
      <c r="I27" s="7" t="s">
        <v>103</v>
      </c>
      <c r="J27" s="4" t="str">
        <v>Blender</v>
      </c>
      <c r="K27" s="4" t="str">
        <f>_xlfn.CONCAT(C27," ",J27)</f>
        <v>Vitamix Blender</v>
      </c>
      <c r="L27" s="9">
        <f>IF(ISBLANK(D27),AVERAGE(D27:D60),D27)</f>
        <v>400</v>
      </c>
      <c r="M27" s="4" t="str">
        <f t="shared" si="1"/>
        <v>Kitchen</v>
      </c>
    </row>
    <row r="28" spans="1:13" ht="15.75" customHeight="1" x14ac:dyDescent="0.3">
      <c r="A28" s="2" t="s">
        <v>82</v>
      </c>
      <c r="B28" s="2" t="s">
        <v>83</v>
      </c>
      <c r="C28" s="2" t="s">
        <v>84</v>
      </c>
      <c r="D28" s="2">
        <v>60</v>
      </c>
      <c r="E28" s="2">
        <v>30</v>
      </c>
      <c r="F28" s="2" t="s">
        <v>13</v>
      </c>
      <c r="G28" s="7" t="s">
        <v>82</v>
      </c>
      <c r="H28" s="10">
        <v>45723</v>
      </c>
      <c r="I28" s="7" t="s">
        <v>103</v>
      </c>
      <c r="J28" s="4" t="str">
        <v>Dress</v>
      </c>
      <c r="K28" s="4" t="str">
        <f>_xlfn.CONCAT(C28," ",J28)</f>
        <v>Zara Dress</v>
      </c>
      <c r="L28" s="9">
        <f>IF(ISBLANK(D28),AVERAGE(D28:D61),D28)</f>
        <v>60</v>
      </c>
      <c r="M28" s="4" t="str">
        <f t="shared" si="1"/>
        <v>Fashion</v>
      </c>
    </row>
    <row r="29" spans="1:13" ht="15.75" customHeight="1" x14ac:dyDescent="0.3">
      <c r="A29" s="3" t="s">
        <v>85</v>
      </c>
      <c r="B29" s="3" t="s">
        <v>86</v>
      </c>
      <c r="C29" s="3" t="s">
        <v>87</v>
      </c>
      <c r="D29" s="3">
        <v>40</v>
      </c>
      <c r="E29" s="3">
        <v>10</v>
      </c>
      <c r="F29" s="3" t="s">
        <v>17</v>
      </c>
      <c r="G29" s="8" t="s">
        <v>85</v>
      </c>
      <c r="H29" s="11">
        <v>45760</v>
      </c>
      <c r="I29" s="8" t="s">
        <v>103</v>
      </c>
      <c r="J29" s="4" t="str">
        <v>Toaster</v>
      </c>
      <c r="K29" s="4" t="str">
        <f>_xlfn.CONCAT(C29," ",J29)</f>
        <v>Hamilton Toaster</v>
      </c>
      <c r="L29" s="9">
        <f>IF(ISBLANK(D29),AVERAGE(D29:D62),D29)</f>
        <v>40</v>
      </c>
      <c r="M29" s="4" t="str">
        <f t="shared" si="1"/>
        <v>Kitchen</v>
      </c>
    </row>
    <row r="30" spans="1:13" ht="15.75" customHeight="1" x14ac:dyDescent="0.3">
      <c r="A30" s="2" t="s">
        <v>88</v>
      </c>
      <c r="B30" s="2" t="s">
        <v>73</v>
      </c>
      <c r="C30" s="2" t="s">
        <v>89</v>
      </c>
      <c r="D30" s="2">
        <v>130</v>
      </c>
      <c r="E30" s="2">
        <v>5</v>
      </c>
      <c r="F30" s="2" t="s">
        <v>9</v>
      </c>
      <c r="G30" s="7" t="s">
        <v>88</v>
      </c>
      <c r="H30" s="10">
        <v>45801</v>
      </c>
      <c r="I30" s="7" t="s">
        <v>103</v>
      </c>
      <c r="J30" s="4" t="str">
        <v>Fitness Tracker</v>
      </c>
      <c r="K30" s="4" t="str">
        <f>_xlfn.CONCAT(C30," ",J30)</f>
        <v>Garmin Fitness Tracker</v>
      </c>
      <c r="L30" s="9">
        <f>IF(ISBLANK(D30),AVERAGE(D30:D63),D30)</f>
        <v>130</v>
      </c>
      <c r="M30" s="4" t="str">
        <f t="shared" si="1"/>
        <v>Electronics</v>
      </c>
    </row>
    <row r="31" spans="1:13" ht="15.75" customHeight="1" x14ac:dyDescent="0.3">
      <c r="A31" s="3" t="s">
        <v>90</v>
      </c>
      <c r="B31" s="3" t="s">
        <v>91</v>
      </c>
      <c r="C31" s="3" t="s">
        <v>92</v>
      </c>
      <c r="D31" s="3">
        <v>50</v>
      </c>
      <c r="E31" s="3">
        <v>50</v>
      </c>
      <c r="F31" s="3" t="s">
        <v>13</v>
      </c>
      <c r="G31" s="8" t="s">
        <v>90</v>
      </c>
      <c r="H31" s="11">
        <v>45993</v>
      </c>
      <c r="I31" s="8" t="s">
        <v>103</v>
      </c>
      <c r="J31" s="4" t="str">
        <v>Jeans</v>
      </c>
      <c r="K31" s="4" t="str">
        <f>_xlfn.CONCAT(C31," ",J31)</f>
        <v>Levi's Jeans</v>
      </c>
      <c r="L31" s="9">
        <f>IF(ISBLANK(D31),AVERAGE(D31:D64),D31)</f>
        <v>50</v>
      </c>
      <c r="M31" s="4" t="str">
        <f t="shared" si="1"/>
        <v>Fashion</v>
      </c>
    </row>
    <row r="32" spans="1:13" ht="15.75" customHeight="1" x14ac:dyDescent="0.3">
      <c r="A32" s="3" t="s">
        <v>93</v>
      </c>
      <c r="B32" s="3" t="s">
        <v>94</v>
      </c>
      <c r="C32" s="3" t="s">
        <v>95</v>
      </c>
      <c r="D32" s="3">
        <v>100</v>
      </c>
      <c r="E32" s="3">
        <v>20</v>
      </c>
      <c r="F32" s="3" t="s">
        <v>55</v>
      </c>
      <c r="G32" s="8" t="s">
        <v>93</v>
      </c>
      <c r="H32" s="11">
        <v>45847</v>
      </c>
      <c r="I32" s="8" t="s">
        <v>109</v>
      </c>
      <c r="J32" s="4" t="str">
        <v>Watch</v>
      </c>
      <c r="K32" s="4" t="str">
        <f>_xlfn.CONCAT(C32," ",J32)</f>
        <v>Casio Watch</v>
      </c>
      <c r="L32" s="9">
        <f>IF(ISBLANK(D32),AVERAGE(D32:D65),D32)</f>
        <v>100</v>
      </c>
      <c r="M32" s="4" t="str">
        <f t="shared" si="1"/>
        <v>Accessories</v>
      </c>
    </row>
    <row r="33" spans="10:10" ht="15.75" customHeight="1" x14ac:dyDescent="0.3">
      <c r="J33" t="str">
        <v/>
      </c>
    </row>
    <row r="34" spans="10:10" ht="15.75" customHeight="1" x14ac:dyDescent="0.3">
      <c r="J34" t="str">
        <v/>
      </c>
    </row>
    <row r="35" spans="10:10" ht="15.75" customHeight="1" x14ac:dyDescent="0.3">
      <c r="J35" t="str">
        <v/>
      </c>
    </row>
    <row r="36" spans="10:10" ht="15.75" customHeight="1" x14ac:dyDescent="0.3"/>
    <row r="37" spans="10:10" ht="15.75" customHeight="1" x14ac:dyDescent="0.3"/>
    <row r="38" spans="10:10" ht="15.75" customHeight="1" x14ac:dyDescent="0.3"/>
    <row r="39" spans="10:10" ht="15.75" customHeight="1" x14ac:dyDescent="0.3"/>
    <row r="40" spans="10:10" ht="15.75" customHeight="1" x14ac:dyDescent="0.3"/>
    <row r="41" spans="10:10" ht="15.75" customHeight="1" x14ac:dyDescent="0.3"/>
    <row r="42" spans="10:10" ht="15.75" customHeight="1" x14ac:dyDescent="0.3"/>
    <row r="43" spans="10:10" ht="15.75" customHeight="1" x14ac:dyDescent="0.3"/>
    <row r="44" spans="10:10" ht="15.75" customHeight="1" x14ac:dyDescent="0.3"/>
    <row r="45" spans="10:10" ht="15.75" customHeight="1" x14ac:dyDescent="0.3"/>
    <row r="46" spans="10:10" ht="15.75" customHeight="1" x14ac:dyDescent="0.3"/>
    <row r="47" spans="10:10" ht="15.75" customHeight="1" x14ac:dyDescent="0.3"/>
    <row r="48" spans="10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L2:L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{74BF6E32-A716-4B71-A699-8B4FA07DDE13}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BF6E32-A716-4B71-A699-8B4FA07DDE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L2:L32</xm:sqref>
        </x14:conditionalFormatting>
        <x14:conditionalFormatting xmlns:xm="http://schemas.microsoft.com/office/excel/2006/main">
          <x14:cfRule type="containsText" priority="1" operator="containsText" id="{7A6BA7A5-4D0A-472F-9DCF-8EDDB933B7E4}">
            <xm:f>NOT(ISERROR(SEARCH($M$2,M1)))</xm:f>
            <xm:f>$M$2</xm:f>
            <x14:dxf>
              <fill>
                <patternFill>
                  <bgColor rgb="FFFF0000"/>
                </patternFill>
              </fill>
            </x14:dxf>
          </x14:cfRule>
          <xm:sqref>M1:M32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abhirajeev60@gmail.com</dc:creator>
  <cp:lastModifiedBy>abhirajeev60@gmail.com</cp:lastModifiedBy>
  <dcterms:created xsi:type="dcterms:W3CDTF">2025-06-20T11:58:14Z</dcterms:created>
  <dcterms:modified xsi:type="dcterms:W3CDTF">2025-06-23T06:28:53Z</dcterms:modified>
</cp:coreProperties>
</file>